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e4\Downloads\"/>
    </mc:Choice>
  </mc:AlternateContent>
  <xr:revisionPtr revIDLastSave="0" documentId="13_ncr:1_{D48A192E-E614-4DE4-B751-4C34A548DEEB}" xr6:coauthVersionLast="47" xr6:coauthVersionMax="47" xr10:uidLastSave="{00000000-0000-0000-0000-000000000000}"/>
  <bookViews>
    <workbookView xWindow="-108" yWindow="-108" windowWidth="23256" windowHeight="12456" xr2:uid="{A71A5BAC-9C4E-F746-AEAF-BEF66E018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22" i="1"/>
  <c r="C26" i="1"/>
  <c r="B30" i="1" s="1"/>
  <c r="D26" i="1"/>
  <c r="E26" i="1"/>
  <c r="B26" i="1"/>
  <c r="E4" i="1"/>
  <c r="E20" i="1"/>
  <c r="E5" i="1"/>
  <c r="E6" i="1"/>
  <c r="F6" i="1" s="1"/>
  <c r="G6" i="1" s="1"/>
  <c r="E7" i="1"/>
  <c r="E8" i="1"/>
  <c r="E9" i="1"/>
  <c r="F9" i="1" s="1"/>
  <c r="G9" i="1" s="1"/>
  <c r="E10" i="1"/>
  <c r="E11" i="1"/>
  <c r="E12" i="1"/>
  <c r="E13" i="1"/>
  <c r="E14" i="1"/>
  <c r="F14" i="1" s="1"/>
  <c r="G14" i="1" s="1"/>
  <c r="E15" i="1"/>
  <c r="E16" i="1"/>
  <c r="E17" i="1"/>
  <c r="E18" i="1"/>
  <c r="E19" i="1"/>
  <c r="F16" i="1" l="1"/>
  <c r="G16" i="1" s="1"/>
  <c r="F8" i="1"/>
  <c r="G8" i="1" s="1"/>
  <c r="F13" i="1"/>
  <c r="G13" i="1" s="1"/>
  <c r="F19" i="1"/>
  <c r="G19" i="1" s="1"/>
  <c r="F18" i="1"/>
  <c r="G18" i="1" s="1"/>
  <c r="F10" i="1"/>
  <c r="G10" i="1" s="1"/>
  <c r="B25" i="1" s="1"/>
  <c r="F5" i="1"/>
  <c r="G5" i="1" s="1"/>
  <c r="E25" i="1" s="1"/>
  <c r="F12" i="1"/>
  <c r="G12" i="1" s="1"/>
  <c r="F11" i="1"/>
  <c r="G11" i="1" s="1"/>
  <c r="F17" i="1"/>
  <c r="G17" i="1" s="1"/>
  <c r="F15" i="1"/>
  <c r="G15" i="1" s="1"/>
  <c r="F7" i="1"/>
  <c r="G7" i="1" s="1"/>
  <c r="C25" i="1" s="1"/>
  <c r="F4" i="1"/>
  <c r="G4" i="1" s="1"/>
</calcChain>
</file>

<file path=xl/sharedStrings.xml><?xml version="1.0" encoding="utf-8"?>
<sst xmlns="http://schemas.openxmlformats.org/spreadsheetml/2006/main" count="18" uniqueCount="18">
  <si>
    <t>Year</t>
  </si>
  <si>
    <t>Quarter</t>
  </si>
  <si>
    <t>t</t>
  </si>
  <si>
    <t>x_t</t>
  </si>
  <si>
    <t>y_t</t>
  </si>
  <si>
    <t>m_t</t>
  </si>
  <si>
    <t>x_t - m_t</t>
  </si>
  <si>
    <t>S1</t>
  </si>
  <si>
    <t>S2</t>
  </si>
  <si>
    <t>S3</t>
  </si>
  <si>
    <t>S4</t>
  </si>
  <si>
    <t>S_n</t>
  </si>
  <si>
    <t>Raw</t>
  </si>
  <si>
    <t>adjusted</t>
  </si>
  <si>
    <t>Diff from 0</t>
  </si>
  <si>
    <t>diff from 0 / 4</t>
  </si>
  <si>
    <t>Adjusted sum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</si>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</sst>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0.0000"/>
    <numFmt numFmtId="167" formatCode="0.00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6297-81ED-9648-8E39-E9D247CD3C1C}">
  <dimension ref="A1:K30"/>
  <sheetViews>
    <sheetView tabSelected="1" topLeftCell="A7" workbookViewId="0">
      <selection activeCell="I22" sqref="I22"/>
    </sheetView>
  </sheetViews>
  <sheetFormatPr defaultColWidth="11.19921875" defaultRowHeight="15.6" x14ac:dyDescent="0.3"/>
  <cols>
    <col min="1" max="1" width="12.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11</v>
      </c>
      <c r="I1" s="3" t="s">
        <v>17</v>
      </c>
    </row>
    <row r="2" spans="1:9" x14ac:dyDescent="0.3">
      <c r="A2" s="1">
        <v>1975</v>
      </c>
      <c r="B2" s="1">
        <v>1</v>
      </c>
      <c r="C2" s="1">
        <v>1</v>
      </c>
      <c r="D2" s="1">
        <v>932</v>
      </c>
      <c r="H2">
        <v>146.265625</v>
      </c>
    </row>
    <row r="3" spans="1:9" x14ac:dyDescent="0.3">
      <c r="A3" s="1">
        <v>1975</v>
      </c>
      <c r="B3" s="1">
        <v>2</v>
      </c>
      <c r="C3" s="1">
        <v>2</v>
      </c>
      <c r="D3" s="1">
        <v>752</v>
      </c>
      <c r="H3">
        <v>-18.296875</v>
      </c>
    </row>
    <row r="4" spans="1:9" x14ac:dyDescent="0.3">
      <c r="A4" s="1">
        <v>1975</v>
      </c>
      <c r="B4" s="1">
        <v>3</v>
      </c>
      <c r="C4" s="1">
        <v>3</v>
      </c>
      <c r="D4" s="1">
        <v>630</v>
      </c>
      <c r="E4" s="5">
        <f>AVERAGE(D2:D5)</f>
        <v>799.25</v>
      </c>
      <c r="F4" s="5">
        <f>AVERAGE(E4:E5)</f>
        <v>802.625</v>
      </c>
      <c r="G4" s="5">
        <f>D4-F4</f>
        <v>-172.625</v>
      </c>
      <c r="H4">
        <v>-193.015625</v>
      </c>
    </row>
    <row r="5" spans="1:9" x14ac:dyDescent="0.3">
      <c r="A5" s="1">
        <v>1975</v>
      </c>
      <c r="B5" s="1">
        <v>4</v>
      </c>
      <c r="C5" s="1">
        <v>4</v>
      </c>
      <c r="D5" s="1">
        <v>883</v>
      </c>
      <c r="E5" s="5">
        <f>AVERAGE(D3:D6)</f>
        <v>806</v>
      </c>
      <c r="F5" s="5">
        <f>AVERAGE(E5:E6)</f>
        <v>806</v>
      </c>
      <c r="G5" s="5">
        <f t="shared" ref="G5:G19" si="0">D5-F5</f>
        <v>77</v>
      </c>
      <c r="H5">
        <v>65.046875</v>
      </c>
    </row>
    <row r="6" spans="1:9" x14ac:dyDescent="0.3">
      <c r="A6" s="1">
        <v>1976</v>
      </c>
      <c r="B6" s="1">
        <v>1</v>
      </c>
      <c r="C6" s="1">
        <v>5</v>
      </c>
      <c r="D6" s="1">
        <v>959</v>
      </c>
      <c r="E6" s="5">
        <f>AVERAGE(D4:D7)</f>
        <v>806</v>
      </c>
      <c r="F6" s="5">
        <f>AVERAGE(E6:E7)</f>
        <v>809</v>
      </c>
      <c r="G6" s="5">
        <f t="shared" si="0"/>
        <v>150</v>
      </c>
      <c r="H6">
        <v>146.265625</v>
      </c>
    </row>
    <row r="7" spans="1:9" x14ac:dyDescent="0.3">
      <c r="A7" s="1">
        <v>1976</v>
      </c>
      <c r="B7" s="1">
        <v>2</v>
      </c>
      <c r="C7" s="1">
        <v>6</v>
      </c>
      <c r="D7" s="1">
        <v>752</v>
      </c>
      <c r="E7" s="5">
        <f>AVERAGE(D5:D8)</f>
        <v>812</v>
      </c>
      <c r="F7" s="5">
        <f>AVERAGE(E7:E8)</f>
        <v>818.25</v>
      </c>
      <c r="G7" s="5">
        <f t="shared" si="0"/>
        <v>-66.25</v>
      </c>
      <c r="H7">
        <v>-18.296875</v>
      </c>
    </row>
    <row r="8" spans="1:9" x14ac:dyDescent="0.3">
      <c r="A8" s="1">
        <v>1976</v>
      </c>
      <c r="B8" s="1">
        <v>3</v>
      </c>
      <c r="C8" s="1">
        <v>7</v>
      </c>
      <c r="D8" s="1">
        <v>654</v>
      </c>
      <c r="E8" s="5">
        <f>AVERAGE(D6:D9)</f>
        <v>824.5</v>
      </c>
      <c r="F8" s="5">
        <f>AVERAGE(E8:E9)</f>
        <v>827.125</v>
      </c>
      <c r="G8" s="5">
        <f t="shared" si="0"/>
        <v>-173.125</v>
      </c>
      <c r="H8">
        <v>-193.015625</v>
      </c>
    </row>
    <row r="9" spans="1:9" x14ac:dyDescent="0.3">
      <c r="A9" s="1">
        <v>1976</v>
      </c>
      <c r="B9" s="1">
        <v>4</v>
      </c>
      <c r="C9" s="1">
        <v>8</v>
      </c>
      <c r="D9" s="1">
        <v>933</v>
      </c>
      <c r="E9" s="5">
        <f>AVERAGE(D7:D10)</f>
        <v>829.75</v>
      </c>
      <c r="F9" s="5">
        <f>AVERAGE(E9:E10)</f>
        <v>835.25</v>
      </c>
      <c r="G9" s="5">
        <f t="shared" si="0"/>
        <v>97.75</v>
      </c>
      <c r="H9">
        <v>65.046875</v>
      </c>
    </row>
    <row r="10" spans="1:9" x14ac:dyDescent="0.3">
      <c r="A10" s="1">
        <v>1977</v>
      </c>
      <c r="B10" s="1">
        <v>1</v>
      </c>
      <c r="C10" s="1">
        <v>9</v>
      </c>
      <c r="D10" s="1">
        <v>980</v>
      </c>
      <c r="E10" s="5">
        <f>AVERAGE(D8:D11)</f>
        <v>840.75</v>
      </c>
      <c r="F10" s="5">
        <f>AVERAGE(E10:E11)</f>
        <v>836.375</v>
      </c>
      <c r="G10" s="5">
        <f t="shared" si="0"/>
        <v>143.625</v>
      </c>
      <c r="H10">
        <v>146.265625</v>
      </c>
    </row>
    <row r="11" spans="1:9" x14ac:dyDescent="0.3">
      <c r="A11" s="1">
        <v>1977</v>
      </c>
      <c r="B11" s="1">
        <v>2</v>
      </c>
      <c r="C11" s="1">
        <v>10</v>
      </c>
      <c r="D11" s="1">
        <v>796</v>
      </c>
      <c r="E11" s="5">
        <f>AVERAGE(D9:D12)</f>
        <v>832</v>
      </c>
      <c r="F11" s="5">
        <f>AVERAGE(E11:E12)</f>
        <v>830</v>
      </c>
      <c r="G11" s="5">
        <f t="shared" si="0"/>
        <v>-34</v>
      </c>
      <c r="H11">
        <v>-18.296875</v>
      </c>
    </row>
    <row r="12" spans="1:9" x14ac:dyDescent="0.3">
      <c r="A12" s="1">
        <v>1977</v>
      </c>
      <c r="B12" s="1">
        <v>3</v>
      </c>
      <c r="C12" s="1">
        <v>11</v>
      </c>
      <c r="D12" s="1">
        <v>619</v>
      </c>
      <c r="E12" s="5">
        <f>AVERAGE(D10:D13)</f>
        <v>828</v>
      </c>
      <c r="F12" s="5">
        <f>AVERAGE(E12:E13)</f>
        <v>828.375</v>
      </c>
      <c r="G12" s="5">
        <f t="shared" si="0"/>
        <v>-209.375</v>
      </c>
      <c r="H12">
        <v>-193.015625</v>
      </c>
    </row>
    <row r="13" spans="1:9" x14ac:dyDescent="0.3">
      <c r="A13" s="1">
        <v>1977</v>
      </c>
      <c r="B13" s="1">
        <v>4</v>
      </c>
      <c r="C13" s="1">
        <v>12</v>
      </c>
      <c r="D13" s="1">
        <v>917</v>
      </c>
      <c r="E13" s="5">
        <f>AVERAGE(D11:D14)</f>
        <v>828.75</v>
      </c>
      <c r="F13" s="5">
        <f>AVERAGE(E13:E14)</f>
        <v>851.625</v>
      </c>
      <c r="G13" s="5">
        <f t="shared" si="0"/>
        <v>65.375</v>
      </c>
      <c r="H13">
        <v>65.046875</v>
      </c>
    </row>
    <row r="14" spans="1:9" x14ac:dyDescent="0.3">
      <c r="A14" s="1">
        <v>1978</v>
      </c>
      <c r="B14" s="1">
        <v>1</v>
      </c>
      <c r="C14" s="1">
        <v>13</v>
      </c>
      <c r="D14" s="1">
        <v>983</v>
      </c>
      <c r="E14" s="5">
        <f>AVERAGE(D12:D15)</f>
        <v>874.5</v>
      </c>
      <c r="F14" s="5">
        <f>AVERAGE(E14:E15)</f>
        <v>883.375</v>
      </c>
      <c r="G14" s="5">
        <f t="shared" si="0"/>
        <v>99.625</v>
      </c>
      <c r="H14">
        <v>146.265625</v>
      </c>
    </row>
    <row r="15" spans="1:9" x14ac:dyDescent="0.3">
      <c r="A15" s="1">
        <v>1978</v>
      </c>
      <c r="B15" s="1">
        <v>2</v>
      </c>
      <c r="C15" s="1">
        <v>14</v>
      </c>
      <c r="D15" s="1">
        <v>979</v>
      </c>
      <c r="E15" s="5">
        <f>AVERAGE(D13:D16)</f>
        <v>892.25</v>
      </c>
      <c r="F15" s="5">
        <f>AVERAGE(E15:E16)</f>
        <v>892.625</v>
      </c>
      <c r="G15" s="5">
        <f t="shared" si="0"/>
        <v>86.375</v>
      </c>
      <c r="H15">
        <v>-18.296875</v>
      </c>
    </row>
    <row r="16" spans="1:9" x14ac:dyDescent="0.3">
      <c r="A16" s="1">
        <v>1978</v>
      </c>
      <c r="B16" s="1">
        <v>3</v>
      </c>
      <c r="C16" s="1">
        <v>15</v>
      </c>
      <c r="D16" s="1">
        <v>690</v>
      </c>
      <c r="E16" s="5">
        <f>AVERAGE(D14:D17)</f>
        <v>893</v>
      </c>
      <c r="F16" s="5">
        <f>AVERAGE(E16:E17)</f>
        <v>904.625</v>
      </c>
      <c r="G16" s="5">
        <f t="shared" si="0"/>
        <v>-214.625</v>
      </c>
      <c r="H16">
        <v>-193.015625</v>
      </c>
    </row>
    <row r="17" spans="1:11" x14ac:dyDescent="0.3">
      <c r="A17" s="1">
        <v>1978</v>
      </c>
      <c r="B17" s="1">
        <v>4</v>
      </c>
      <c r="C17" s="1">
        <v>16</v>
      </c>
      <c r="D17" s="1">
        <v>920</v>
      </c>
      <c r="E17" s="5">
        <f>AVERAGE(D15:D18)</f>
        <v>916.25</v>
      </c>
      <c r="F17" s="5">
        <f>AVERAGE(E17:E18)</f>
        <v>897.625</v>
      </c>
      <c r="G17" s="5">
        <f t="shared" si="0"/>
        <v>22.375</v>
      </c>
      <c r="H17">
        <v>65.046875</v>
      </c>
    </row>
    <row r="18" spans="1:11" x14ac:dyDescent="0.3">
      <c r="A18" s="1">
        <v>1979</v>
      </c>
      <c r="B18" s="1">
        <v>1</v>
      </c>
      <c r="C18" s="1">
        <v>17</v>
      </c>
      <c r="D18" s="1">
        <v>1076</v>
      </c>
      <c r="E18" s="5">
        <f>AVERAGE(D16:D19)</f>
        <v>879</v>
      </c>
      <c r="F18" s="5">
        <f>AVERAGE(E18:E19)</f>
        <v>881.875</v>
      </c>
      <c r="G18" s="5">
        <f t="shared" si="0"/>
        <v>194.125</v>
      </c>
      <c r="H18">
        <v>146.265625</v>
      </c>
    </row>
    <row r="19" spans="1:11" x14ac:dyDescent="0.3">
      <c r="A19" s="1">
        <v>1979</v>
      </c>
      <c r="B19" s="1">
        <v>2</v>
      </c>
      <c r="C19" s="1">
        <v>18</v>
      </c>
      <c r="D19" s="1">
        <v>830</v>
      </c>
      <c r="E19" s="5">
        <f>AVERAGE(D17:D20)</f>
        <v>884.75</v>
      </c>
      <c r="F19" s="5">
        <f>AVERAGE(E19:E20)</f>
        <v>887</v>
      </c>
      <c r="G19" s="5">
        <f t="shared" si="0"/>
        <v>-57</v>
      </c>
      <c r="H19">
        <v>-18.296875</v>
      </c>
    </row>
    <row r="20" spans="1:11" x14ac:dyDescent="0.3">
      <c r="A20" s="1">
        <v>1979</v>
      </c>
      <c r="B20" s="1">
        <v>3</v>
      </c>
      <c r="C20" s="1">
        <v>19</v>
      </c>
      <c r="D20" s="1">
        <v>713</v>
      </c>
      <c r="E20" s="5">
        <f>AVERAGE(D18:D21)</f>
        <v>889.25</v>
      </c>
      <c r="H20">
        <v>-193.015625</v>
      </c>
    </row>
    <row r="21" spans="1:11" x14ac:dyDescent="0.3">
      <c r="A21" s="1">
        <v>1979</v>
      </c>
      <c r="B21" s="1">
        <v>4</v>
      </c>
      <c r="C21" s="1">
        <v>20</v>
      </c>
      <c r="D21" s="1">
        <v>938</v>
      </c>
      <c r="H21">
        <v>65.046875</v>
      </c>
    </row>
    <row r="22" spans="1:11" x14ac:dyDescent="0.3">
      <c r="A22" s="1">
        <v>1980</v>
      </c>
      <c r="B22" s="1">
        <v>1</v>
      </c>
      <c r="C22" s="1">
        <v>21</v>
      </c>
      <c r="H22">
        <v>146.265625</v>
      </c>
      <c r="I22">
        <f>776.18+6.98*(C22)+H22</f>
        <v>1069.025625</v>
      </c>
    </row>
    <row r="23" spans="1:11" x14ac:dyDescent="0.3">
      <c r="A23" s="1">
        <v>1980</v>
      </c>
      <c r="B23" s="1">
        <v>2</v>
      </c>
      <c r="C23" s="1">
        <v>22</v>
      </c>
      <c r="H23">
        <v>-18.296875</v>
      </c>
      <c r="I23">
        <f>776.18+6.98*(C23)+H23</f>
        <v>911.44312500000001</v>
      </c>
    </row>
    <row r="24" spans="1:11" x14ac:dyDescent="0.3">
      <c r="B24" s="3" t="s">
        <v>7</v>
      </c>
      <c r="C24" s="3" t="s">
        <v>8</v>
      </c>
      <c r="D24" s="3" t="s">
        <v>9</v>
      </c>
      <c r="E24" s="3" t="s">
        <v>10</v>
      </c>
    </row>
    <row r="25" spans="1:11" x14ac:dyDescent="0.3">
      <c r="A25" t="s">
        <v>12</v>
      </c>
      <c r="B25" s="4">
        <f>AVERAGE(G6,G10,G14,G18)</f>
        <v>146.84375</v>
      </c>
      <c r="C25" s="4">
        <f>AVERAGE(G7,G11,G15,G19)</f>
        <v>-17.71875</v>
      </c>
      <c r="D25" s="4">
        <v>-192.4375</v>
      </c>
      <c r="E25" s="4">
        <f>AVERAGE(G5,G9,G13,G17)</f>
        <v>65.625</v>
      </c>
      <c r="H25">
        <v>146.265625</v>
      </c>
      <c r="I25">
        <v>-18.296875</v>
      </c>
      <c r="J25">
        <v>-193.015625</v>
      </c>
      <c r="K25">
        <v>65.046875</v>
      </c>
    </row>
    <row r="26" spans="1:11" x14ac:dyDescent="0.3">
      <c r="A26" t="s">
        <v>13</v>
      </c>
      <c r="B26" s="4">
        <f>B25-$B$29</f>
        <v>146.265625</v>
      </c>
      <c r="C26" s="4">
        <f t="shared" ref="C26:E26" si="1">C25-$B$29</f>
        <v>-18.296875</v>
      </c>
      <c r="D26" s="4">
        <f t="shared" si="1"/>
        <v>-193.015625</v>
      </c>
      <c r="E26" s="4">
        <f t="shared" si="1"/>
        <v>65.046875</v>
      </c>
      <c r="H26">
        <v>146.265625</v>
      </c>
    </row>
    <row r="27" spans="1:11" x14ac:dyDescent="0.3">
      <c r="H27">
        <v>-18.296875</v>
      </c>
    </row>
    <row r="28" spans="1:11" x14ac:dyDescent="0.3">
      <c r="A28" t="s">
        <v>14</v>
      </c>
      <c r="B28" s="6">
        <v>2.3125</v>
      </c>
      <c r="H28">
        <v>-193.015625</v>
      </c>
    </row>
    <row r="29" spans="1:11" x14ac:dyDescent="0.3">
      <c r="A29" t="s">
        <v>15</v>
      </c>
      <c r="B29">
        <v>0.578125</v>
      </c>
      <c r="H29">
        <v>65.046875</v>
      </c>
    </row>
    <row r="30" spans="1:11" x14ac:dyDescent="0.3">
      <c r="A30" t="s">
        <v>16</v>
      </c>
      <c r="B30" s="7">
        <f>SUM(B26:E26)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 Grinius</cp:lastModifiedBy>
  <dcterms:created xsi:type="dcterms:W3CDTF">2022-01-10T13:40:57Z</dcterms:created>
  <dcterms:modified xsi:type="dcterms:W3CDTF">2025-03-03T18:16:33Z</dcterms:modified>
</cp:coreProperties>
</file>